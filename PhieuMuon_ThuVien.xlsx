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981c2e13a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MucSach" sheetId="1" r:id="R4858935de0eb4b3c"/>
    <x:sheet xmlns:r="http://schemas.openxmlformats.org/officeDocument/2006/relationships" name="PhieuMuon" sheetId="2" r:id="Rdc8b9063d4b541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3a4d5ca014db9" /><Relationship Type="http://schemas.openxmlformats.org/officeDocument/2006/relationships/theme" Target="/xl/theme/theme1.xml" Id="R6aaa1214ed0a4604" /><Relationship Type="http://schemas.openxmlformats.org/officeDocument/2006/relationships/sharedStrings" Target="/xl/sharedStrings.xml" Id="R5708279cc6d34ff8" /><Relationship Type="http://schemas.openxmlformats.org/officeDocument/2006/relationships/worksheet" Target="/xl/worksheets/sheet1.xml" Id="R4858935de0eb4b3c" /><Relationship Type="http://schemas.openxmlformats.org/officeDocument/2006/relationships/worksheet" Target="/xl/worksheets/sheet2.xml" Id="Rdc8b9063d4b541ba" /></Relationships>
</file>

<file path=xl/tables/table1.xml><?xml version="1.0" encoding="utf-8"?>
<x:table xmlns:x="http://schemas.openxmlformats.org/spreadsheetml/2006/main" id="1" name="PhieuMuonTable" displayName="PhieuMuonTable" ref="A1:F5" headerRowCount="1" totalsRowCount="0" totalsRowShown="0">
  <x:tableColumns count="6">
    <x:tableColumn id="1" name="MSSV"/>
    <x:tableColumn id="2" name="Họ Tên"/>
    <x:tableColumn id="3" name="Mã Sách"/>
    <x:tableColumn id="4" name="Tên Sách"/>
    <x:tableColumn id="5" name="Ngày Mượn"/>
    <x:tableColumn id="6" name="Tình Trạ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25d145e4a9437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2" hidden="0" customWidth="1"/>
  </x:cols>
  <x:sheetData>
    <x:row r="1">
      <x:c r="A1" s="10" t="str">
        <x:v>Mã Sách</x:v>
      </x:c>
      <x:c r="B1" s="10" t="str">
        <x:v>Tên Sách</x:v>
      </x:c>
      <x:c r="C1" s="10" t="str">
        <x:v>Thể Loại</x:v>
      </x:c>
    </x:row>
    <x:row r="2">
      <x:c r="A2" t="str">
        <x:v>S001</x:v>
      </x:c>
      <x:c r="B2" t="str">
        <x:v>Lập Trình C Căn Bản</x:v>
      </x:c>
      <x:c r="C2" t="str">
        <x:v>Công nghệ thông tin</x:v>
      </x:c>
    </x:row>
    <x:row r="3">
      <x:c r="A3" t="str">
        <x:v>S002</x:v>
      </x:c>
      <x:c r="B3" t="str">
        <x:v>Giải Tích 1</x:v>
      </x:c>
      <x:c r="C3" t="str">
        <x:v>Toán học</x:v>
      </x:c>
    </x:row>
    <x:row r="4">
      <x:c r="A4" t="str">
        <x:v>S003</x:v>
      </x:c>
      <x:c r="B4" t="str">
        <x:v>Kỹ Năng Mềm</x:v>
      </x:c>
      <x:c r="C4" t="str">
        <x:v>Kỹ năng sống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12" hidden="0" customWidth="1"/>
    <x:col min="4" max="4" width="28" hidden="0" customWidth="1"/>
    <x:col min="5" max="5" width="14" hidden="0" customWidth="1"/>
    <x:col min="6" max="6" width="14" hidden="0" customWidth="1"/>
  </x:cols>
  <x:sheetData>
    <x:row r="1">
      <x:c r="A1" s="10" t="str">
        <x:v>MSSV</x:v>
      </x:c>
      <x:c r="B1" s="10" t="str">
        <x:v>Họ Tên</x:v>
      </x:c>
      <x:c r="C1" s="10" t="str">
        <x:v>Mã Sách</x:v>
      </x:c>
      <x:c r="D1" s="10" t="str">
        <x:v>Tên Sách</x:v>
      </x:c>
      <x:c r="E1" s="10" t="str">
        <x:v>Ngày Mượn</x:v>
      </x:c>
      <x:c r="F1" s="10" t="str">
        <x:v>Tình Trạng</x:v>
      </x:c>
      <x:c r="H1" s="13" t="str">
        <x:v>Tổng cộng</x:v>
      </x:c>
      <x:c r="I1" s="13" t="str">
        <x:v>4 phiếu</x:v>
      </x:c>
    </x:row>
    <x:row r="2">
      <x:c r="A2" t="str">
        <x:v>SV001</x:v>
      </x:c>
      <x:c r="B2" t="str">
        <x:v>Nguyễn Văn An</x:v>
      </x:c>
      <x:c r="C2" t="str">
        <x:v>S001</x:v>
      </x:c>
      <x:c r="D2" t="str">
        <x:f>IFERROR(VLOOKUP(TRIM(C2),DanhMucSach!$A$2:$C$4,2,FALSE),"Không tìm thấy sách")</x:f>
        <x:v>Lập Trình C Căn Bản</x:v>
      </x:c>
      <x:c r="E2" t="str">
        <x:v>2026-10-01</x:v>
      </x:c>
      <x:c r="F2" t="str">
        <x:v>Đang mượn</x:v>
      </x:c>
      <x:c r="H2" t="str">
        <x:v>Vùng Filter</x:v>
      </x:c>
      <x:c r="I2" t="str">
        <x:v>A1:F5</x:v>
      </x:c>
    </x:row>
    <x:row r="3">
      <x:c r="A3" t="str">
        <x:v>SV002</x:v>
      </x:c>
      <x:c r="B3" t="str">
        <x:v>Trần Thị Bình</x:v>
      </x:c>
      <x:c r="C3" t="str">
        <x:v>S002</x:v>
      </x:c>
      <x:c r="D3" t="str">
        <x:f>IFERROR(VLOOKUP(TRIM(C3),DanhMucSach!$A$2:$C$4,2,FALSE),"Không tìm thấy sách")</x:f>
        <x:v>Giải Tích 1</x:v>
      </x:c>
      <x:c r="E3" t="str">
        <x:v>2026-10-03</x:v>
      </x:c>
      <x:c r="F3" t="str">
        <x:v>Quá hạn</x:v>
      </x:c>
    </x:row>
    <x:row r="4">
      <x:c r="A4" t="str">
        <x:v>SV003</x:v>
      </x:c>
      <x:c r="B4" t="str">
        <x:v>Lê Văn Cường</x:v>
      </x:c>
      <x:c r="C4" t="str">
        <x:v>S003</x:v>
      </x:c>
      <x:c r="D4" t="str">
        <x:f>IFERROR(VLOOKUP(TRIM(C4),DanhMucSach!$A$2:$C$4,2,FALSE),"Không tìm thấy sách")</x:f>
        <x:v>Kỹ Năng Mềm</x:v>
      </x:c>
      <x:c r="E4" t="str">
        <x:v>2026-10-10</x:v>
      </x:c>
      <x:c r="F4" t="str">
        <x:v>Đã trả</x:v>
      </x:c>
    </x:row>
    <x:row r="5">
      <x:c r="A5" t="str">
        <x:v>SV004</x:v>
      </x:c>
      <x:c r="B5" t="str">
        <x:v>Phạm Thu Hà</x:v>
      </x:c>
      <x:c r="C5" t="str">
        <x:v>S099</x:v>
      </x:c>
      <x:c r="D5" t="str">
        <x:f>IFERROR(VLOOKUP(TRIM(C5),DanhMucSach!$A$2:$C$4,2,FALSE),"Không tìm thấy sách")</x:f>
        <x:v>Không tìm thấy sách</x:v>
      </x:c>
      <x:c r="E5" t="str">
        <x:v>2026-10-12</x:v>
      </x:c>
      <x:c r="F5" t="str">
        <x:v>Đang mượn</x:v>
      </x:c>
    </x:row>
  </x:sheetData>
  <x:pageMargins left="0.7" right="0.7" top="0.75" bottom="0.75" header="0.3" footer="0.3"/>
  <x:tableParts count="1">
    <x:tablePart xmlns:r="http://schemas.openxmlformats.org/officeDocument/2006/relationships" r:id="R9025d145e4a94377"/>
  </x:tableParts>
</x:worksheet>
</file>