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ec54d7441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MucTacGia" sheetId="1" r:id="Rfb826a5f286e4cde"/>
    <x:sheet xmlns:r="http://schemas.openxmlformats.org/officeDocument/2006/relationships" name="DanhSachBaoCao" sheetId="2" r:id="R2507e9f34436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VNĐ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4b8e702aa496a" /><Relationship Type="http://schemas.openxmlformats.org/officeDocument/2006/relationships/theme" Target="/xl/theme/theme1.xml" Id="Re7873418d7604f61" /><Relationship Type="http://schemas.openxmlformats.org/officeDocument/2006/relationships/sharedStrings" Target="/xl/sharedStrings.xml" Id="R46753ae9ed8c4afb" /><Relationship Type="http://schemas.openxmlformats.org/officeDocument/2006/relationships/worksheet" Target="/xl/worksheets/sheet1.xml" Id="Rfb826a5f286e4cde" /><Relationship Type="http://schemas.openxmlformats.org/officeDocument/2006/relationships/worksheet" Target="/xl/worksheets/sheet2.xml" Id="R2507e9f344364782" /></Relationships>
</file>

<file path=xl/tables/table1.xml><?xml version="1.0" encoding="utf-8"?>
<x:table xmlns:x="http://schemas.openxmlformats.org/spreadsheetml/2006/main" id="1" name="BaoCaoTable" displayName="BaoCaoTable" ref="A1:F7" headerRowCount="1" totalsRowCount="0" totalsRowShown="0">
  <x:tableColumns count="6">
    <x:tableColumn id="1" name="Mã BC"/>
    <x:tableColumn id="2" name="Tên báo cáo"/>
    <x:tableColumn id="3" name="Mã TG"/>
    <x:tableColumn id="4" name="Tên Tác Giả"/>
    <x:tableColumn id="5" name="Phòng"/>
    <x:tableColumn id="6" name="Thù l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7f7800e9594f4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4" hidden="0" customWidth="1"/>
  </x:cols>
  <x:sheetData>
    <x:row r="1">
      <x:c r="A1" s="10" t="str">
        <x:v>Mã TG</x:v>
      </x:c>
      <x:c r="B1" s="10" t="str">
        <x:v>Tên Tác Giả</x:v>
      </x:c>
      <x:c r="C1" s="10" t="str">
        <x:v>Khoa/Viện</x:v>
      </x:c>
      <x:c r="D1" s="10" t="str">
        <x:v>Phòng</x:v>
      </x:c>
      <x:c r="E1" s="10" t="str">
        <x:v>Thù Lao</x:v>
      </x:c>
    </x:row>
    <x:row r="2">
      <x:c r="A2" t="str">
        <x:v>TG001</x:v>
      </x:c>
      <x:c r="B2" t="str">
        <x:v>Nguyễn Văn An</x:v>
      </x:c>
      <x:c r="C2" t="str">
        <x:v>CNTT</x:v>
      </x:c>
      <x:c r="D2" t="str">
        <x:v>P.201-A</x:v>
      </x:c>
      <x:c r="E2" s="12" t="n">
        <x:v>500000</x:v>
      </x:c>
    </x:row>
    <x:row r="3">
      <x:c r="A3" t="str">
        <x:v>TG002</x:v>
      </x:c>
      <x:c r="B3" t="str">
        <x:v>Trần Thị Bình</x:v>
      </x:c>
      <x:c r="C3" t="str">
        <x:v>Điện Tử</x:v>
      </x:c>
      <x:c r="D3" t="str">
        <x:v>P.305-B</x:v>
      </x:c>
      <x:c r="E3" s="12" t="n">
        <x:v>450000</x:v>
      </x:c>
    </x:row>
    <x:row r="4">
      <x:c r="A4" t="str">
        <x:v>TG003</x:v>
      </x:c>
      <x:c r="B4" t="str">
        <x:v>Lê Minh Châu</x:v>
      </x:c>
      <x:c r="C4" t="str">
        <x:v>CNTT</x:v>
      </x:c>
      <x:c r="D4" t="str">
        <x:v>P.201-A</x:v>
      </x:c>
      <x:c r="E4" s="12" t="n">
        <x:v>500000</x:v>
      </x:c>
    </x:row>
    <x:row r="5">
      <x:c r="A5" t="str">
        <x:v>TG004</x:v>
      </x:c>
      <x:c r="B5" t="str">
        <x:v>Phạm Thu Dung</x:v>
      </x:c>
      <x:c r="C5" t="str">
        <x:v>Kinh tế</x:v>
      </x:c>
      <x:c r="D5" t="str">
        <x:v>P.401-C</x:v>
      </x:c>
      <x:c r="E5" s="12" t="n">
        <x:v>400000</x:v>
      </x:c>
    </x:row>
    <x:row r="6">
      <x:c r="A6" t="str">
        <x:v>TG005</x:v>
      </x:c>
      <x:c r="B6" t="str">
        <x:v>Hoàng Hải Nam</x:v>
      </x:c>
      <x:c r="C6" t="str">
        <x:v>CNTT</x:v>
      </x:c>
      <x:c r="D6" t="str">
        <x:v>P.202-A</x:v>
      </x:c>
      <x:c r="E6" s="12" t="n">
        <x:v>500000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11" hidden="0" customWidth="1"/>
    <x:col min="4" max="4" width="22" hidden="0" customWidth="1"/>
    <x:col min="5" max="5" width="12" hidden="0" customWidth="1"/>
    <x:col min="6" max="6" width="14" hidden="0" customWidth="1"/>
  </x:cols>
  <x:sheetData>
    <x:row r="1">
      <x:c r="A1" s="10" t="str">
        <x:v>Mã BC</x:v>
      </x:c>
      <x:c r="B1" s="10" t="str">
        <x:v>Tên báo cáo</x:v>
      </x:c>
      <x:c r="C1" s="10" t="str">
        <x:v>Mã TG</x:v>
      </x:c>
      <x:c r="D1" s="10" t="str">
        <x:v>Tên Tác Giả</x:v>
      </x:c>
      <x:c r="E1" s="10" t="str">
        <x:v>Phòng</x:v>
      </x:c>
      <x:c r="F1" s="10" t="str">
        <x:v>Thù lao</x:v>
      </x:c>
    </x:row>
    <x:row r="2">
      <x:c r="A2" t="str">
        <x:v>BC001</x:v>
      </x:c>
      <x:c r="B2" t="str">
        <x:v>AI trong giáo dục</x:v>
      </x:c>
      <x:c r="C2" t="str">
        <x:v>TG001</x:v>
      </x:c>
      <x:c r="D2" t="str">
        <x:f>IFERROR(VLOOKUP(TRIM(C2),DanhMucTacGia!$A$2:$E$6,2,FALSE),"Chưa cập nhật")</x:f>
        <x:v>Nguyễn Văn An</x:v>
      </x:c>
      <x:c r="E2" t="str">
        <x:f>IFERROR(VLOOKUP(TRIM(C2),DanhMucTacGia!$A$2:$E$6,4,FALSE),"Chưa cập nhật")</x:f>
        <x:v>P.201-A</x:v>
      </x:c>
      <x:c r="F2" s="12" t="n">
        <x:f>IFERROR(VLOOKUP(TRIM(C2),DanhMucTacGia!$A$2:$E$6,5,FALSE),"Chưa cập nhật")</x:f>
        <x:v>500000</x:v>
      </x:c>
    </x:row>
    <x:row r="3">
      <x:c r="A3" t="str">
        <x:v>BC002</x:v>
      </x:c>
      <x:c r="B3" t="str">
        <x:v>IoT Smart Farm</x:v>
      </x:c>
      <x:c r="C3" t="str">
        <x:v>TG002 </x:v>
      </x:c>
      <x:c r="D3" t="str">
        <x:f>IFERROR(VLOOKUP(TRIM(C3),DanhMucTacGia!$A$2:$E$6,2,FALSE),"Chưa cập nhật")</x:f>
        <x:v>Trần Thị Bình</x:v>
      </x:c>
      <x:c r="E3" t="str">
        <x:f>IFERROR(VLOOKUP(TRIM(C3),DanhMucTacGia!$A$2:$E$6,4,FALSE),"Chưa cập nhật")</x:f>
        <x:v>P.305-B</x:v>
      </x:c>
      <x:c r="F3" s="12" t="n">
        <x:f>IFERROR(VLOOKUP(TRIM(C3),DanhMucTacGia!$A$2:$E$6,5,FALSE),"Chưa cập nhật")</x:f>
        <x:v>450000</x:v>
      </x:c>
    </x:row>
    <x:row r="4">
      <x:c r="A4" t="str">
        <x:v>BC003</x:v>
      </x:c>
      <x:c r="B4" t="str">
        <x:v>Hệ thống gợi ý</x:v>
      </x:c>
      <x:c r="C4" t="str">
        <x:v>TG003</x:v>
      </x:c>
      <x:c r="D4" t="str">
        <x:f>IFERROR(VLOOKUP(TRIM(C4),DanhMucTacGia!$A$2:$E$6,2,FALSE),"Chưa cập nhật")</x:f>
        <x:v>Lê Minh Châu</x:v>
      </x:c>
      <x:c r="E4" t="str">
        <x:f>IFERROR(VLOOKUP(TRIM(C4),DanhMucTacGia!$A$2:$E$6,4,FALSE),"Chưa cập nhật")</x:f>
        <x:v>P.201-A</x:v>
      </x:c>
      <x:c r="F4" s="12" t="n">
        <x:f>IFERROR(VLOOKUP(TRIM(C4),DanhMucTacGia!$A$2:$E$6,5,FALSE),"Chưa cập nhật")</x:f>
        <x:v>500000</x:v>
      </x:c>
    </x:row>
    <x:row r="5">
      <x:c r="A5" t="str">
        <x:v>BC004</x:v>
      </x:c>
      <x:c r="B5" t="str">
        <x:v>Kinh tế số</x:v>
      </x:c>
      <x:c r="C5" t="str">
        <x:v>TG004</x:v>
      </x:c>
      <x:c r="D5" t="str">
        <x:f>IFERROR(VLOOKUP(TRIM(C5),DanhMucTacGia!$A$2:$E$6,2,FALSE),"Chưa cập nhật")</x:f>
        <x:v>Phạm Thu Dung</x:v>
      </x:c>
      <x:c r="E5" t="str">
        <x:f>IFERROR(VLOOKUP(TRIM(C5),DanhMucTacGia!$A$2:$E$6,4,FALSE),"Chưa cập nhật")</x:f>
        <x:v>P.401-C</x:v>
      </x:c>
      <x:c r="F5" s="12" t="n">
        <x:f>IFERROR(VLOOKUP(TRIM(C5),DanhMucTacGia!$A$2:$E$6,5,FALSE),"Chưa cập nhật")</x:f>
        <x:v>400000</x:v>
      </x:c>
    </x:row>
    <x:row r="6">
      <x:c r="A6" t="str">
        <x:v>BC005</x:v>
      </x:c>
      <x:c r="B6" t="str">
        <x:v>Bảo mật mạng</x:v>
      </x:c>
      <x:c r="C6" t="str">
        <x:v>TG999</x:v>
      </x:c>
      <x:c r="D6" t="str">
        <x:f>IFERROR(VLOOKUP(TRIM(C6),DanhMucTacGia!$A$2:$E$6,2,FALSE),"Chưa cập nhật")</x:f>
        <x:v>Chưa cập nhật</x:v>
      </x:c>
      <x:c r="E6" t="str">
        <x:f>IFERROR(VLOOKUP(TRIM(C6),DanhMucTacGia!$A$2:$E$6,4,FALSE),"Chưa cập nhật")</x:f>
        <x:v>Chưa cập nhật</x:v>
      </x:c>
      <x:c r="F6" s="12" t="str">
        <x:f>IFERROR(VLOOKUP(TRIM(C6),DanhMucTacGia!$A$2:$E$6,5,FALSE),"Chưa cập nhật")</x:f>
        <x:v>Chưa cập nhật</x:v>
      </x:c>
    </x:row>
    <x:row r="7">
      <x:c r="A7" t="str">
        <x:v>BC006</x:v>
      </x:c>
      <x:c r="B7" t="str">
        <x:v>Phân tích dữ liệu</x:v>
      </x:c>
      <x:c r="C7" t="str">
        <x:v>TG005</x:v>
      </x:c>
      <x:c r="D7" t="str">
        <x:f>IFERROR(VLOOKUP(TRIM(C7),DanhMucTacGia!$A$2:$E$6,2,FALSE),"Chưa cập nhật")</x:f>
        <x:v>Hoàng Hải Nam</x:v>
      </x:c>
      <x:c r="E7" t="str">
        <x:f>IFERROR(VLOOKUP(TRIM(C7),DanhMucTacGia!$A$2:$E$6,4,FALSE),"Chưa cập nhật")</x:f>
        <x:v>P.202-A</x:v>
      </x:c>
      <x:c r="F7" s="12" t="n">
        <x:f>IFERROR(VLOOKUP(TRIM(C7),DanhMucTacGia!$A$2:$E$6,5,FALSE),"Chưa cập nhật")</x:f>
        <x:v>500000</x:v>
      </x:c>
    </x:row>
  </x:sheetData>
  <x:pageMargins left="0.7" right="0.7" top="0.75" bottom="0.75" header="0.3" footer="0.3"/>
  <x:tableParts count="1">
    <x:tablePart xmlns:r="http://schemas.openxmlformats.org/officeDocument/2006/relationships" r:id="R377f7800e9594f47"/>
  </x:tableParts>
</x:worksheet>
</file>