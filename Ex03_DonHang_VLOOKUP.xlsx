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d15c143ac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_Muc" sheetId="1" r:id="R551f42bda2b54786"/>
    <x:sheet xmlns:r="http://schemas.openxmlformats.org/officeDocument/2006/relationships" name="Don_Hang" sheetId="2" r:id="R559fe0c37176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Đ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13ef688104829" /><Relationship Type="http://schemas.openxmlformats.org/officeDocument/2006/relationships/theme" Target="/xl/theme/theme1.xml" Id="R7ca8008aab04454b" /><Relationship Type="http://schemas.openxmlformats.org/officeDocument/2006/relationships/sharedStrings" Target="/xl/sharedStrings.xml" Id="R21ed002468714f01" /><Relationship Type="http://schemas.openxmlformats.org/officeDocument/2006/relationships/worksheet" Target="/xl/worksheets/sheet1.xml" Id="R551f42bda2b54786" /><Relationship Type="http://schemas.openxmlformats.org/officeDocument/2006/relationships/worksheet" Target="/xl/worksheets/sheet2.xml" Id="R559fe0c371764e6b" /></Relationships>
</file>

<file path=xl/tables/table1.xml><?xml version="1.0" encoding="utf-8"?>
<x:table xmlns:x="http://schemas.openxmlformats.org/spreadsheetml/2006/main" id="1" name="DonHangTable" displayName="DonHangTable" ref="A1:D7" headerRowCount="1" totalsRowCount="0" totalsRowShown="0">
  <x:tableColumns count="4">
    <x:tableColumn id="1" name="Mã LK"/>
    <x:tableColumn id="2" name="Số lượng"/>
    <x:tableColumn id="3" name="Tên linh kiện"/>
    <x:tableColumn id="4" name="Đơn gi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f59e1060224f4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4" hidden="0" customWidth="1"/>
  </x:cols>
  <x:sheetData>
    <x:row r="1">
      <x:c r="A1" s="10" t="str">
        <x:v>Mã LK</x:v>
      </x:c>
      <x:c r="B1" s="10" t="str">
        <x:v>Tên linh kiện</x:v>
      </x:c>
      <x:c r="C1" s="10" t="str">
        <x:v>Đơn giá</x:v>
      </x:c>
    </x:row>
    <x:row r="2">
      <x:c r="A2" t="str">
        <x:v>LK01</x:v>
      </x:c>
      <x:c r="B2" t="str">
        <x:v>Cảm biến nhiệt độ</x:v>
      </x:c>
      <x:c r="C2" s="12" t="n">
        <x:v>120000</x:v>
      </x:c>
    </x:row>
    <x:row r="3">
      <x:c r="A3" t="str">
        <x:v>LK02</x:v>
      </x:c>
      <x:c r="B3" t="str">
        <x:v>Cảm biến độ ẩm</x:v>
      </x:c>
      <x:c r="C3" s="12" t="n">
        <x:v>145000</x:v>
      </x:c>
    </x:row>
    <x:row r="4">
      <x:c r="A4" t="str">
        <x:v>LK03</x:v>
      </x:c>
      <x:c r="B4" t="str">
        <x:v>Relay 5V</x:v>
      </x:c>
      <x:c r="C4" s="12" t="n">
        <x:v>65000</x:v>
      </x:c>
    </x:row>
    <x:row r="5">
      <x:c r="A5" t="str">
        <x:v>LK04</x:v>
      </x:c>
      <x:c r="B5" t="str">
        <x:v>ESP32</x:v>
      </x:c>
      <x:c r="C5" s="12" t="n">
        <x:v>185000</x:v>
      </x:c>
    </x:row>
    <x:row r="6">
      <x:c r="A6" t="str">
        <x:v>LK05</x:v>
      </x:c>
      <x:c r="B6" t="str">
        <x:v>Máy bơm mini</x:v>
      </x:c>
      <x:c r="C6" s="12" t="n">
        <x:v>210000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14" hidden="0" customWidth="1"/>
  </x:cols>
  <x:sheetData>
    <x:row r="1">
      <x:c r="A1" s="10" t="str">
        <x:v>Mã LK</x:v>
      </x:c>
      <x:c r="B1" s="10" t="str">
        <x:v>Số lượng</x:v>
      </x:c>
      <x:c r="C1" s="10" t="str">
        <x:v>Tên linh kiện</x:v>
      </x:c>
      <x:c r="D1" s="10" t="str">
        <x:v>Đơn giá</x:v>
      </x:c>
    </x:row>
    <x:row r="2">
      <x:c r="A2" t="str">
        <x:v>LK01</x:v>
      </x:c>
      <x:c r="B2" t="n">
        <x:v>2</x:v>
      </x:c>
      <x:c r="C2" t="str">
        <x:f>IFERROR(VLOOKUP(TRIM(A2),Danh_Muc!$A$2:$C$6,2,FALSE),"Chưa cập nhật")</x:f>
        <x:v>Cảm biến nhiệt độ</x:v>
      </x:c>
      <x:c r="D2" s="12" t="n">
        <x:f>IFERROR(VLOOKUP(TRIM(A2),Danh_Muc!$A$2:$C$6,3,FALSE),"")</x:f>
        <x:v>120000</x:v>
      </x:c>
    </x:row>
    <x:row r="3">
      <x:c r="A3" t="str">
        <x:v>LK02 </x:v>
      </x:c>
      <x:c r="B3" t="n">
        <x:v>1</x:v>
      </x:c>
      <x:c r="C3" t="str">
        <x:f>IFERROR(VLOOKUP(TRIM(A3),Danh_Muc!$A$2:$C$6,2,FALSE),"Chưa cập nhật")</x:f>
        <x:v>Cảm biến độ ẩm</x:v>
      </x:c>
      <x:c r="D3" s="12" t="n">
        <x:f>IFERROR(VLOOKUP(TRIM(A3),Danh_Muc!$A$2:$C$6,3,FALSE),"")</x:f>
        <x:v>145000</x:v>
      </x:c>
    </x:row>
    <x:row r="4">
      <x:c r="A4" t="str">
        <x:v>LK05</x:v>
      </x:c>
      <x:c r="B4" t="n">
        <x:v>3</x:v>
      </x:c>
      <x:c r="C4" t="str">
        <x:f>IFERROR(VLOOKUP(TRIM(A4),Danh_Muc!$A$2:$C$6,2,FALSE),"Chưa cập nhật")</x:f>
        <x:v>Máy bơm mini</x:v>
      </x:c>
      <x:c r="D4" s="12" t="n">
        <x:f>IFERROR(VLOOKUP(TRIM(A4),Danh_Muc!$A$2:$C$6,3,FALSE),"")</x:f>
        <x:v>210000</x:v>
      </x:c>
    </x:row>
    <x:row r="5">
      <x:c r="A5" t="str">
        <x:v>LK99</x:v>
      </x:c>
      <x:c r="B5" t="n">
        <x:v>1</x:v>
      </x:c>
      <x:c r="C5" t="str">
        <x:f>IFERROR(VLOOKUP(TRIM(A5),Danh_Muc!$A$2:$C$6,2,FALSE),"Chưa cập nhật")</x:f>
        <x:v>Chưa cập nhật</x:v>
      </x:c>
      <x:c r="D5" s="12" t="str">
        <x:f>IFERROR(VLOOKUP(TRIM(A5),Danh_Muc!$A$2:$C$6,3,FALSE),"")</x:f>
      </x:c>
    </x:row>
    <x:row r="6">
      <x:c r="A6" t="str">
        <x:v>LK04</x:v>
      </x:c>
      <x:c r="B6" t="n">
        <x:v>4</x:v>
      </x:c>
      <x:c r="C6" t="str">
        <x:f>IFERROR(VLOOKUP(TRIM(A6),Danh_Muc!$A$2:$C$6,2,FALSE),"Chưa cập nhật")</x:f>
        <x:v>ESP32</x:v>
      </x:c>
      <x:c r="D6" s="12" t="n">
        <x:f>IFERROR(VLOOKUP(TRIM(A6),Danh_Muc!$A$2:$C$6,3,FALSE),"")</x:f>
        <x:v>185000</x:v>
      </x:c>
    </x:row>
    <x:row r="7">
      <x:c r="A7" t="str">
        <x:v>LK03</x:v>
      </x:c>
      <x:c r="B7" t="n">
        <x:v>2</x:v>
      </x:c>
      <x:c r="C7" t="str">
        <x:f>IFERROR(VLOOKUP(TRIM(A7),Danh_Muc!$A$2:$C$6,2,FALSE),"Chưa cập nhật")</x:f>
        <x:v>Relay 5V</x:v>
      </x:c>
      <x:c r="D7" s="12" t="n">
        <x:f>IFERROR(VLOOKUP(TRIM(A7),Danh_Muc!$A$2:$C$6,3,FALSE),"")</x:f>
        <x:v>65000</x:v>
      </x:c>
    </x:row>
  </x:sheetData>
  <x:pageMargins left="0.7" right="0.7" top="0.75" bottom="0.75" header="0.3" footer="0.3"/>
  <x:tableParts count="1">
    <x:tablePart xmlns:r="http://schemas.openxmlformats.org/officeDocument/2006/relationships" r:id="R9ef59e1060224f4e"/>
  </x:tableParts>
</x:worksheet>
</file>