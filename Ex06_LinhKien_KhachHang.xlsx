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205742fda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Muc_LinhKien" sheetId="1" r:id="R376314c6bbac472a"/>
    <x:sheet xmlns:r="http://schemas.openxmlformats.org/officeDocument/2006/relationships" name="QuanLy_LinhKien" sheetId="2" r:id="R7a627b2bf2734e66"/>
    <x:sheet xmlns:r="http://schemas.openxmlformats.org/officeDocument/2006/relationships" name="KhachHang" sheetId="3" r:id="Rdc79d0e7cd854e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VNĐ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84945e5ac409d" /><Relationship Type="http://schemas.openxmlformats.org/officeDocument/2006/relationships/theme" Target="/xl/theme/theme1.xml" Id="R7e8707b418d74db4" /><Relationship Type="http://schemas.openxmlformats.org/officeDocument/2006/relationships/sharedStrings" Target="/xl/sharedStrings.xml" Id="Rbeaed1d8341a437b" /><Relationship Type="http://schemas.openxmlformats.org/officeDocument/2006/relationships/worksheet" Target="/xl/worksheets/sheet1.xml" Id="R376314c6bbac472a" /><Relationship Type="http://schemas.openxmlformats.org/officeDocument/2006/relationships/worksheet" Target="/xl/worksheets/sheet2.xml" Id="R7a627b2bf2734e66" /><Relationship Type="http://schemas.openxmlformats.org/officeDocument/2006/relationships/worksheet" Target="/xl/worksheets/sheet3.xml" Id="Rdc79d0e7cd854e0c" /></Relationships>
</file>

<file path=xl/tables/table1.xml><?xml version="1.0" encoding="utf-8"?>
<x:table xmlns:x="http://schemas.openxmlformats.org/spreadsheetml/2006/main" id="1" name="KhachHangTable" displayName="KhachHangTable" ref="A1:E8" headerRowCount="1" totalsRowCount="0" totalsRowShown="0">
  <x:tableColumns count="5">
    <x:tableColumn id="1" name="Mã KH"/>
    <x:tableColumn id="2" name="Tên khách hàng"/>
    <x:tableColumn id="3" name="Tỉnh/TP gốc"/>
    <x:tableColumn id="4" name="Tỉnh/TP sạch"/>
    <x:tableColumn id="5" name="Tiềm nă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a234944aa4546f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5" hidden="0" customWidth="1"/>
  </x:cols>
  <x:sheetData>
    <x:row r="1">
      <x:c r="A1" s="10" t="str">
        <x:v>Mã LK</x:v>
      </x:c>
      <x:c r="B1" s="10" t="str">
        <x:v>Tên linh kiện</x:v>
      </x:c>
      <x:c r="C1" s="10" t="str">
        <x:v>Giá NCC</x:v>
      </x:c>
      <x:c r="D1" s="10" t="str">
        <x:v>Nhà cung cấp</x:v>
      </x:c>
    </x:row>
    <x:row r="2">
      <x:c r="A2" t="str">
        <x:v>CB01</x:v>
      </x:c>
      <x:c r="B2" t="str">
        <x:v>Cảm biến nhiệt độ</x:v>
      </x:c>
      <x:c r="C2" s="12" t="n">
        <x:v>125000</x:v>
      </x:c>
      <x:c r="D2" t="str">
        <x:v>NCC A</x:v>
      </x:c>
    </x:row>
    <x:row r="3">
      <x:c r="A3" t="str">
        <x:v>CB02</x:v>
      </x:c>
      <x:c r="B3" t="str">
        <x:v>Cảm biến độ ẩm</x:v>
      </x:c>
      <x:c r="C3" s="12" t="n">
        <x:v>150000</x:v>
      </x:c>
      <x:c r="D3" t="str">
        <x:v>NCC A</x:v>
      </x:c>
    </x:row>
    <x:row r="4">
      <x:c r="A4" t="str">
        <x:v>GW01</x:v>
      </x:c>
      <x:c r="B4" t="str">
        <x:v>Gateway LoRa</x:v>
      </x:c>
      <x:c r="C4" s="12" t="n">
        <x:v>950000</x:v>
      </x:c>
      <x:c r="D4" t="str">
        <x:v>NCC B</x:v>
      </x:c>
    </x:row>
    <x:row r="5">
      <x:c r="A5" t="str">
        <x:v>RL01</x:v>
      </x:c>
      <x:c r="B5" t="str">
        <x:v>Relay</x:v>
      </x:c>
      <x:c r="C5" s="12" t="n">
        <x:v>70000</x:v>
      </x:c>
      <x:c r="D5" t="str">
        <x:v>NCC C</x:v>
      </x:c>
    </x:row>
    <x:row r="6">
      <x:c r="A6" t="str">
        <x:v>P01</x:v>
      </x:c>
      <x:c r="B6" t="str">
        <x:v>Máy bơm</x:v>
      </x:c>
      <x:c r="C6" s="12" t="n">
        <x:v>850000</x:v>
      </x:c>
      <x:c r="D6" t="str">
        <x:v>NCC 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24" hidden="0" customWidth="1"/>
    <x:col min="4" max="4" width="14" hidden="0" customWidth="1"/>
  </x:cols>
  <x:sheetData>
    <x:row r="1">
      <x:c r="A1" s="10" t="str">
        <x:v>Mã LK gốc</x:v>
      </x:c>
      <x:c r="B1" s="10" t="str">
        <x:v>Mã LK sạch</x:v>
      </x:c>
      <x:c r="C1" s="10" t="str">
        <x:v>Tên linh kiện</x:v>
      </x:c>
      <x:c r="D1" s="10" t="str">
        <x:v>Giá</x:v>
      </x:c>
    </x:row>
    <x:row r="2">
      <x:c r="A2" t="str">
        <x:v>CB01</x:v>
      </x:c>
      <x:c r="B2" t="str">
        <x:f>TRIM(A2)</x:f>
        <x:v>CB01</x:v>
      </x:c>
      <x:c r="C2" t="str">
        <x:f>IFERROR(VLOOKUP(B2,DanhMuc_LinhKien!$A$2:$D$6,2,FALSE),"Chưa cập nhật")</x:f>
        <x:v>Cảm biến nhiệt độ</x:v>
      </x:c>
      <x:c r="D2" s="12" t="n">
        <x:f>IFERROR(VLOOKUP(B2,DanhMuc_LinhKien!$A$2:$D$6,3,FALSE),"")</x:f>
        <x:v>125000</x:v>
      </x:c>
    </x:row>
    <x:row r="3">
      <x:c r="A3" t="str">
        <x:v>CB02 </x:v>
      </x:c>
      <x:c r="B3" t="str">
        <x:f>TRIM(A3)</x:f>
        <x:v>CB02</x:v>
      </x:c>
      <x:c r="C3" t="str">
        <x:f>IFERROR(VLOOKUP(B3,DanhMuc_LinhKien!$A$2:$D$6,2,FALSE),"Chưa cập nhật")</x:f>
        <x:v>Cảm biến độ ẩm</x:v>
      </x:c>
      <x:c r="D3" s="12" t="n">
        <x:f>IFERROR(VLOOKUP(B3,DanhMuc_LinhKien!$A$2:$D$6,3,FALSE),"")</x:f>
        <x:v>150000</x:v>
      </x:c>
    </x:row>
    <x:row r="4">
      <x:c r="A4" t="str">
        <x:v>P01</x:v>
      </x:c>
      <x:c r="B4" t="str">
        <x:f>TRIM(A4)</x:f>
        <x:v>P01</x:v>
      </x:c>
      <x:c r="C4" t="str">
        <x:f>IFERROR(VLOOKUP(B4,DanhMuc_LinhKien!$A$2:$D$6,2,FALSE),"Chưa cập nhật")</x:f>
        <x:v>Máy bơm</x:v>
      </x:c>
      <x:c r="D4" s="12" t="n">
        <x:f>IFERROR(VLOOKUP(B4,DanhMuc_LinhKien!$A$2:$D$6,3,FALSE),"")</x:f>
        <x:v>850000</x:v>
      </x:c>
    </x:row>
    <x:row r="5">
      <x:c r="A5" t="str">
        <x:v>GW01 </x:v>
      </x:c>
      <x:c r="B5" t="str">
        <x:f>TRIM(A5)</x:f>
        <x:v>GW01</x:v>
      </x:c>
      <x:c r="C5" t="str">
        <x:f>IFERROR(VLOOKUP(B5,DanhMuc_LinhKien!$A$2:$D$6,2,FALSE),"Chưa cập nhật")</x:f>
        <x:v>Gateway LoRa</x:v>
      </x:c>
      <x:c r="D5" s="12" t="n">
        <x:f>IFERROR(VLOOKUP(B5,DanhMuc_LinhKien!$A$2:$D$6,3,FALSE),"")</x:f>
        <x:v>950000</x:v>
      </x:c>
    </x:row>
    <x:row r="6">
      <x:c r="A6" t="str">
        <x:v>XX99</x:v>
      </x:c>
      <x:c r="B6" t="str">
        <x:f>TRIM(A6)</x:f>
        <x:v>XX99</x:v>
      </x:c>
      <x:c r="C6" t="str">
        <x:f>IFERROR(VLOOKUP(B6,DanhMuc_LinhKien!$A$2:$D$6,2,FALSE),"Chưa cập nhật")</x:f>
        <x:v>Chưa cập nhật</x:v>
      </x:c>
      <x:c r="D6" s="12" t="str">
        <x:f>IFERROR(VLOOKUP(B6,DanhMuc_LinhKien!$A$2:$D$6,3,FALSE),"")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16" hidden="0" customWidth="1"/>
    <x:col min="4" max="4" width="16" hidden="0" customWidth="1"/>
    <x:col min="5" max="5" width="14" hidden="0" customWidth="1"/>
  </x:cols>
  <x:sheetData>
    <x:row r="1">
      <x:c r="A1" s="10" t="str">
        <x:v>Mã KH</x:v>
      </x:c>
      <x:c r="B1" s="10" t="str">
        <x:v>Tên khách hàng</x:v>
      </x:c>
      <x:c r="C1" s="10" t="str">
        <x:v>Tỉnh/TP gốc</x:v>
      </x:c>
      <x:c r="D1" s="10" t="str">
        <x:v>Tỉnh/TP sạch</x:v>
      </x:c>
      <x:c r="E1" s="10" t="str">
        <x:v>Tiềm năng</x:v>
      </x:c>
    </x:row>
    <x:row r="2">
      <x:c r="A2" t="str">
        <x:v>KH01</x:v>
      </x:c>
      <x:c r="B2" t="str">
        <x:v>HTX Hoa Lan A</x:v>
      </x:c>
      <x:c r="C2" t="str">
        <x:v>Hanoi </x:v>
      </x:c>
      <x:c r="D2" t="str">
        <x:f>TRIM(C2)</x:f>
        <x:v>Hanoi</x:v>
      </x:c>
      <x:c r="E2" t="str">
        <x:v>Cao</x:v>
      </x:c>
    </x:row>
    <x:row r="3">
      <x:c r="A3" t="str">
        <x:v>KH02</x:v>
      </x:c>
      <x:c r="B3" t="str">
        <x:v>Trang trại B</x:v>
      </x:c>
      <x:c r="C3" t="str">
        <x:v>Hanoi</x:v>
      </x:c>
      <x:c r="D3" t="str">
        <x:f>TRIM(C3)</x:f>
        <x:v>Hanoi</x:v>
      </x:c>
      <x:c r="E3" t="str">
        <x:v>Trung bình</x:v>
      </x:c>
    </x:row>
    <x:row r="4">
      <x:c r="A4" t="str">
        <x:v>KH03</x:v>
      </x:c>
      <x:c r="B4" t="str">
        <x:v>Nông trại C</x:v>
      </x:c>
      <x:c r="C4" t="str">
        <x:v>Da Lat</x:v>
      </x:c>
      <x:c r="D4" t="str">
        <x:f>TRIM(C4)</x:f>
        <x:v>Da Lat</x:v>
      </x:c>
      <x:c r="E4" t="str">
        <x:v>Cao</x:v>
      </x:c>
    </x:row>
    <x:row r="5">
      <x:c r="A5" t="str">
        <x:v>KH04</x:v>
      </x:c>
      <x:c r="B5" t="str">
        <x:v>HTX D</x:v>
      </x:c>
      <x:c r="C5" t="str">
        <x:v>Hanoi  </x:v>
      </x:c>
      <x:c r="D5" t="str">
        <x:f>TRIM(C5)</x:f>
        <x:v>Hanoi</x:v>
      </x:c>
      <x:c r="E5" t="str">
        <x:v>Cao</x:v>
      </x:c>
    </x:row>
    <x:row r="6">
      <x:c r="A6" t="str">
        <x:v>KH05</x:v>
      </x:c>
      <x:c r="B6" t="str">
        <x:v>Trang trại E</x:v>
      </x:c>
      <x:c r="C6" t="str">
        <x:v>HCM</x:v>
      </x:c>
      <x:c r="D6" t="str">
        <x:f>TRIM(C6)</x:f>
        <x:v>HCM</x:v>
      </x:c>
      <x:c r="E6" t="str">
        <x:v>Trung bình</x:v>
      </x:c>
    </x:row>
    <x:row r="7">
      <x:c r="A7" t="str">
        <x:v>KH06</x:v>
      </x:c>
      <x:c r="B7" t="str">
        <x:v>Vườn F</x:v>
      </x:c>
      <x:c r="C7" t="str">
        <x:v>Da Lat </x:v>
      </x:c>
      <x:c r="D7" t="str">
        <x:f>TRIM(C7)</x:f>
        <x:v>Da Lat</x:v>
      </x:c>
      <x:c r="E7" t="str">
        <x:v>Cao</x:v>
      </x:c>
    </x:row>
    <x:row r="8">
      <x:c r="A8" t="str">
        <x:v>KH07</x:v>
      </x:c>
      <x:c r="B8" t="str">
        <x:v>HTX G</x:v>
      </x:c>
      <x:c r="C8" t="str">
        <x:v>Hanoi</x:v>
      </x:c>
      <x:c r="D8" t="str">
        <x:f>TRIM(C8)</x:f>
        <x:v>Hanoi</x:v>
      </x:c>
      <x:c r="E8" t="str">
        <x:v>Cao</x:v>
      </x:c>
    </x:row>
  </x:sheetData>
  <x:pageMargins left="0.7" right="0.7" top="0.75" bottom="0.75" header="0.3" footer="0.3"/>
  <x:tableParts count="1">
    <x:tablePart xmlns:r="http://schemas.openxmlformats.org/officeDocument/2006/relationships" r:id="R0a234944aa4546f9"/>
  </x:tableParts>
</x:worksheet>
</file>