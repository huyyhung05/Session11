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d6bf40298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Phong" sheetId="1" r:id="Rce4a762d727c4205"/>
    <x:sheet xmlns:r="http://schemas.openxmlformats.org/officeDocument/2006/relationships" name="DanhSachBaoCao" sheetId="2" r:id="Rda730c421842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Đ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e8c2226b447e6" /><Relationship Type="http://schemas.openxmlformats.org/officeDocument/2006/relationships/theme" Target="/xl/theme/theme1.xml" Id="R10359a2051d84062" /><Relationship Type="http://schemas.openxmlformats.org/officeDocument/2006/relationships/sharedStrings" Target="/xl/sharedStrings.xml" Id="Ra9bdd4c70c0b4641" /><Relationship Type="http://schemas.openxmlformats.org/officeDocument/2006/relationships/worksheet" Target="/xl/worksheets/sheet1.xml" Id="Rce4a762d727c4205" /><Relationship Type="http://schemas.openxmlformats.org/officeDocument/2006/relationships/worksheet" Target="/xl/worksheets/sheet2.xml" Id="Rda730c4218424551" /></Relationships>
</file>

<file path=xl/tables/table1.xml><?xml version="1.0" encoding="utf-8"?>
<x:table xmlns:x="http://schemas.openxmlformats.org/spreadsheetml/2006/main" id="1" name="HoiNghiTable" displayName="HoiNghiTable" ref="A1:H9" headerRowCount="1" totalsRowCount="0" totalsRowShown="0">
  <x:tableColumns count="8">
    <x:tableColumn id="1" name="Mã TG"/>
    <x:tableColumn id="2" name="Tên"/>
    <x:tableColumn id="3" name="Khoa"/>
    <x:tableColumn id="4" name="Tên báo cáo"/>
    <x:tableColumn id="5" name="Phòng"/>
    <x:tableColumn id="6" name="Thù lao"/>
    <x:tableColumn id="7" name="Điểm"/>
    <x:tableColumn id="8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24bdcd0389432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4" hidden="0" customWidth="1"/>
  </x:cols>
  <x:sheetData>
    <x:row r="1">
      <x:c r="A1" s="10" t="str">
        <x:v>Mã TG</x:v>
      </x:c>
      <x:c r="B1" s="10" t="str">
        <x:v>Phòng</x:v>
      </x:c>
      <x:c r="C1" s="10" t="str">
        <x:v>Thù lao</x:v>
      </x:c>
    </x:row>
    <x:row r="2">
      <x:c r="A2" t="str">
        <x:v>TG001</x:v>
      </x:c>
      <x:c r="B2" t="str">
        <x:v>A201</x:v>
      </x:c>
      <x:c r="C2" s="12" t="n">
        <x:v>500000</x:v>
      </x:c>
    </x:row>
    <x:row r="3">
      <x:c r="A3" t="str">
        <x:v>TG002</x:v>
      </x:c>
      <x:c r="B3" t="str">
        <x:v>A202</x:v>
      </x:c>
      <x:c r="C3" s="12" t="n">
        <x:v>500000</x:v>
      </x:c>
    </x:row>
    <x:row r="4">
      <x:c r="A4" t="str">
        <x:v>TG003</x:v>
      </x:c>
      <x:c r="B4" t="str">
        <x:v>B301</x:v>
      </x:c>
      <x:c r="C4" s="12" t="n">
        <x:v>450000</x:v>
      </x:c>
    </x:row>
    <x:row r="5">
      <x:c r="A5" t="str">
        <x:v>TG004</x:v>
      </x:c>
      <x:c r="B5" t="str">
        <x:v>B302</x:v>
      </x:c>
      <x:c r="C5" s="12" t="n">
        <x:v>450000</x:v>
      </x:c>
    </x:row>
    <x:row r="6">
      <x:c r="A6" t="str">
        <x:v>TG005</x:v>
      </x:c>
      <x:c r="B6" t="str">
        <x:v>C101</x:v>
      </x:c>
      <x:c r="C6" s="12" t="n">
        <x:v>400000</x:v>
      </x:c>
    </x:row>
    <x:row r="7">
      <x:c r="A7" t="str">
        <x:v>TG006</x:v>
      </x:c>
      <x:c r="B7" t="str">
        <x:v>C102</x:v>
      </x:c>
      <x:c r="C7" s="12" t="n">
        <x:v>400000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10" t="str">
        <x:v>Mã TG</x:v>
      </x:c>
      <x:c r="B1" s="10" t="str">
        <x:v>Tên</x:v>
      </x:c>
      <x:c r="C1" s="10" t="str">
        <x:v>Khoa</x:v>
      </x:c>
      <x:c r="D1" s="10" t="str">
        <x:v>Tên báo cáo</x:v>
      </x:c>
      <x:c r="E1" s="10" t="str">
        <x:v>Phòng</x:v>
      </x:c>
      <x:c r="F1" s="10" t="str">
        <x:v>Thù lao</x:v>
      </x:c>
      <x:c r="G1" s="10" t="str">
        <x:v>Điểm</x:v>
      </x:c>
      <x:c r="H1" s="10" t="str">
        <x:v>Trạng thái</x:v>
      </x:c>
    </x:row>
    <x:row r="2">
      <x:c r="A2" t="str">
        <x:v>TG001</x:v>
      </x:c>
      <x:c r="B2" t="str">
        <x:v>Nguyễn Văn An</x:v>
      </x:c>
      <x:c r="C2" t="str">
        <x:v>CNTT</x:v>
      </x:c>
      <x:c r="D2" t="str">
        <x:v>AI hỗ trợ học tập</x:v>
      </x:c>
      <x:c r="E2" t="str">
        <x:f>IFERROR(VLOOKUP(TRIM(A2),DanhMucPhong!$A$2:$C$7,2,FALSE),"Chưa cập nhật")</x:f>
        <x:v>A201</x:v>
      </x:c>
      <x:c r="F2" s="12" t="n">
        <x:f>IFERROR(VLOOKUP(TRIM(A2),DanhMucPhong!$A$2:$C$7,3,FALSE),"Chưa cập nhật")</x:f>
        <x:v>500000</x:v>
      </x:c>
      <x:c r="G2" t="n">
        <x:v>9.1</x:v>
      </x:c>
      <x:c r="H2" t="str">
        <x:v>Duyệt</x:v>
      </x:c>
    </x:row>
    <x:row r="3">
      <x:c r="A3" t="str">
        <x:v>TG002</x:v>
      </x:c>
      <x:c r="B3" t="str">
        <x:v>Trần Thị Bình</x:v>
      </x:c>
      <x:c r="C3" t="str">
        <x:v>Điện tử</x:v>
      </x:c>
      <x:c r="D3" t="str">
        <x:v>IoT cảm biến</x:v>
      </x:c>
      <x:c r="E3" t="str">
        <x:f>IFERROR(VLOOKUP(TRIM(A3),DanhMucPhong!$A$2:$C$7,2,FALSE),"Chưa cập nhật")</x:f>
        <x:v>A202</x:v>
      </x:c>
      <x:c r="F3" s="12" t="n">
        <x:f>IFERROR(VLOOKUP(TRIM(A3),DanhMucPhong!$A$2:$C$7,3,FALSE),"Chưa cập nhật")</x:f>
        <x:v>500000</x:v>
      </x:c>
      <x:c r="G3" t="n">
        <x:v>8.7</x:v>
      </x:c>
      <x:c r="H3" t="str">
        <x:v>Duyệt</x:v>
      </x:c>
    </x:row>
    <x:row r="4">
      <x:c r="A4" t="str">
        <x:v>TG003</x:v>
      </x:c>
      <x:c r="B4" t="str">
        <x:v>Lê Minh Châu</x:v>
      </x:c>
      <x:c r="C4" t="str">
        <x:v>CNTT</x:v>
      </x:c>
      <x:c r="D4" t="str">
        <x:v>Phát hiện bất thường</x:v>
      </x:c>
      <x:c r="E4" t="str">
        <x:f>IFERROR(VLOOKUP(TRIM(A4),DanhMucPhong!$A$2:$C$7,2,FALSE),"Chưa cập nhật")</x:f>
        <x:v>B301</x:v>
      </x:c>
      <x:c r="F4" s="12" t="n">
        <x:f>IFERROR(VLOOKUP(TRIM(A4),DanhMucPhong!$A$2:$C$7,3,FALSE),"Chưa cập nhật")</x:f>
        <x:v>450000</x:v>
      </x:c>
      <x:c r="G4" t="n">
        <x:v>8.9</x:v>
      </x:c>
      <x:c r="H4" t="str">
        <x:v>Duyệt</x:v>
      </x:c>
    </x:row>
    <x:row r="5">
      <x:c r="A5" t="str">
        <x:v>TG004</x:v>
      </x:c>
      <x:c r="B5" t="str">
        <x:v>Phạm Thu Dung</x:v>
      </x:c>
      <x:c r="C5" t="str">
        <x:v>Kinh tế</x:v>
      </x:c>
      <x:c r="D5" t="str">
        <x:v>Kinh tế số</x:v>
      </x:c>
      <x:c r="E5" t="str">
        <x:f>IFERROR(VLOOKUP(TRIM(A5),DanhMucPhong!$A$2:$C$7,2,FALSE),"Chưa cập nhật")</x:f>
        <x:v>B302</x:v>
      </x:c>
      <x:c r="F5" s="12" t="n">
        <x:f>IFERROR(VLOOKUP(TRIM(A5),DanhMucPhong!$A$2:$C$7,3,FALSE),"Chưa cập nhật")</x:f>
        <x:v>450000</x:v>
      </x:c>
      <x:c r="G5" t="n">
        <x:v>8.2</x:v>
      </x:c>
      <x:c r="H5" t="str">
        <x:v>Duyệt</x:v>
      </x:c>
    </x:row>
    <x:row r="6">
      <x:c r="A6" t="str">
        <x:v>TG005</x:v>
      </x:c>
      <x:c r="B6" t="str">
        <x:v>Hoàng Hải Nam</x:v>
      </x:c>
      <x:c r="C6" t="str">
        <x:v>CNTT</x:v>
      </x:c>
      <x:c r="D6" t="str">
        <x:v>Bảo mật API</x:v>
      </x:c>
      <x:c r="E6" t="str">
        <x:f>IFERROR(VLOOKUP(TRIM(A6),DanhMucPhong!$A$2:$C$7,2,FALSE),"Chưa cập nhật")</x:f>
        <x:v>C101</x:v>
      </x:c>
      <x:c r="F6" s="12" t="n">
        <x:f>IFERROR(VLOOKUP(TRIM(A6),DanhMucPhong!$A$2:$C$7,3,FALSE),"Chưa cập nhật")</x:f>
        <x:v>400000</x:v>
      </x:c>
      <x:c r="G6" t="n">
        <x:v>8.5</x:v>
      </x:c>
      <x:c r="H6" t="str">
        <x:v>Duyệt</x:v>
      </x:c>
    </x:row>
    <x:row r="7">
      <x:c r="A7" t="str">
        <x:v>TG006</x:v>
      </x:c>
      <x:c r="B7" t="str">
        <x:v>Vũ Mai Lan</x:v>
      </x:c>
      <x:c r="C7" t="str">
        <x:v>Cơ sở chung</x:v>
      </x:c>
      <x:c r="D7" t="str">
        <x:v>Ứng dụng dữ liệu</x:v>
      </x:c>
      <x:c r="E7" t="str">
        <x:f>IFERROR(VLOOKUP(TRIM(A7),DanhMucPhong!$A$2:$C$7,2,FALSE),"Chưa cập nhật")</x:f>
        <x:v>C102</x:v>
      </x:c>
      <x:c r="F7" s="12" t="n">
        <x:f>IFERROR(VLOOKUP(TRIM(A7),DanhMucPhong!$A$2:$C$7,3,FALSE),"Chưa cập nhật")</x:f>
        <x:v>400000</x:v>
      </x:c>
      <x:c r="G7" t="n">
        <x:v>7.6</x:v>
      </x:c>
      <x:c r="H7" t="str">
        <x:v>Chờ</x:v>
      </x:c>
    </x:row>
    <x:row r="8">
      <x:c r="A8" t="str">
        <x:v>EXT01</x:v>
      </x:c>
      <x:c r="B8" t="str">
        <x:v>Khách mời A</x:v>
      </x:c>
      <x:c r="C8" t="str">
        <x:v>Ngoài trường</x:v>
      </x:c>
      <x:c r="D8" t="str">
        <x:v>Chuyển đổi số</x:v>
      </x:c>
      <x:c r="E8" t="str">
        <x:f>IFERROR(VLOOKUP(TRIM(A8),DanhMucPhong!$A$2:$C$7,2,FALSE),"Chưa cập nhật")</x:f>
        <x:v>Chưa cập nhật</x:v>
      </x:c>
      <x:c r="F8" s="12" t="str">
        <x:f>IFERROR(VLOOKUP(TRIM(A8),DanhMucPhong!$A$2:$C$7,3,FALSE),"Chưa cập nhật")</x:f>
        <x:v>Chưa cập nhật</x:v>
      </x:c>
      <x:c r="G8" t="n">
        <x:v>9</x:v>
      </x:c>
      <x:c r="H8" t="str">
        <x:v>Mời</x:v>
      </x:c>
    </x:row>
    <x:row r="9">
      <x:c r="A9" t="str">
        <x:v>EXT02</x:v>
      </x:c>
      <x:c r="B9" t="str">
        <x:v>Khách mời B</x:v>
      </x:c>
      <x:c r="C9" t="str">
        <x:v>Ngoài trường</x:v>
      </x:c>
      <x:c r="D9" t="str">
        <x:v>AI có trách nhiệm</x:v>
      </x:c>
      <x:c r="E9" t="str">
        <x:f>IFERROR(VLOOKUP(TRIM(A9),DanhMucPhong!$A$2:$C$7,2,FALSE),"Chưa cập nhật")</x:f>
        <x:v>Chưa cập nhật</x:v>
      </x:c>
      <x:c r="F9" s="12" t="str">
        <x:f>IFERROR(VLOOKUP(TRIM(A9),DanhMucPhong!$A$2:$C$7,3,FALSE),"Chưa cập nhật")</x:f>
        <x:v>Chưa cập nhật</x:v>
      </x:c>
      <x:c r="G9" t="n">
        <x:v>9</x:v>
      </x:c>
      <x:c r="H9" t="str">
        <x:v>Mời</x:v>
      </x:c>
    </x:row>
  </x:sheetData>
  <x:pageMargins left="0.7" right="0.7" top="0.75" bottom="0.75" header="0.3" footer="0.3"/>
  <x:tableParts count="1">
    <x:tablePart xmlns:r="http://schemas.openxmlformats.org/officeDocument/2006/relationships" r:id="Ra124bdcd03894322"/>
  </x:tableParts>
</x:worksheet>
</file>